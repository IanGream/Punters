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306" documentId="8_{09DE6AF2-D661-4051-8769-A551AD4E0A55}" xr6:coauthVersionLast="47" xr6:coauthVersionMax="47" xr10:uidLastSave="{B9680B38-DC4F-4E26-B5F3-694EC9A52BB1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<sst xmlns="http://schemas.openxmlformats.org/spreadsheetml/2006/main" count="31" uniqueCount="19">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</sst>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D11" sqref="D11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280</v>
      </c>
      <c r="C4" s="13">
        <f>SUM(Rounds!C6:BB6)</f>
        <v>339.74</v>
      </c>
      <c r="D4" s="8">
        <f>+C4/(Rounds!$B$3*Rounds!B6)</f>
        <v>1.2133571428571428</v>
      </c>
    </row>
    <row r="5" spans="1:4" x14ac:dyDescent="0.2">
      <c r="A5" s="2" t="s">
        <v>5</v>
      </c>
      <c r="B5" s="13">
        <f>+Rounds!B7*Rounds!$B$3</f>
        <v>280</v>
      </c>
      <c r="C5" s="13">
        <f>SUM(Rounds!C7:BB7)</f>
        <v>319.43</v>
      </c>
      <c r="D5" s="8">
        <f>+C5/(Rounds!$B$3*Rounds!B7)</f>
        <v>1.1408214285714287</v>
      </c>
    </row>
    <row r="6" spans="1:4" x14ac:dyDescent="0.2">
      <c r="A6" s="2" t="s">
        <v>2</v>
      </c>
      <c r="B6" s="13">
        <f>+Rounds!B8*Rounds!$B$3</f>
        <v>280</v>
      </c>
      <c r="C6" s="13">
        <f>SUM(Rounds!C8:BB8)</f>
        <v>221.35</v>
      </c>
      <c r="D6" s="8">
        <f>+C6/(Rounds!$B$3*Rounds!B8)</f>
        <v>0.79053571428571423</v>
      </c>
    </row>
    <row r="7" spans="1:4" x14ac:dyDescent="0.2">
      <c r="A7" s="2" t="s">
        <v>0</v>
      </c>
      <c r="B7" s="13">
        <f>+Rounds!B9*Rounds!$B$3</f>
        <v>280</v>
      </c>
      <c r="C7" s="13">
        <f>SUM(Rounds!C9:BB9)</f>
        <v>307.89</v>
      </c>
      <c r="D7" s="8">
        <f>+C7/(Rounds!$B$3*Rounds!B9)</f>
        <v>1.0996071428571428</v>
      </c>
    </row>
    <row r="8" spans="1:4" x14ac:dyDescent="0.2">
      <c r="A8" s="2" t="s">
        <v>1</v>
      </c>
      <c r="B8" s="13">
        <f>+Rounds!B10*Rounds!$B$3</f>
        <v>280</v>
      </c>
      <c r="C8" s="13">
        <f>SUM(Rounds!C10:BB10)</f>
        <v>201</v>
      </c>
      <c r="D8" s="8">
        <f>+C8/(Rounds!$B$3*Rounds!B10)</f>
        <v>0.71785714285714286</v>
      </c>
    </row>
    <row r="9" spans="1:4" x14ac:dyDescent="0.2">
      <c r="A9" s="2" t="s">
        <v>6</v>
      </c>
      <c r="B9" s="13">
        <f>+Rounds!B11*Rounds!$B$3</f>
        <v>280</v>
      </c>
      <c r="C9" s="13">
        <f>SUM(Rounds!C11:BB11)</f>
        <v>251.75</v>
      </c>
      <c r="D9" s="8">
        <f>+C9/(Rounds!$B$3*Rounds!B11)</f>
        <v>0.89910714285714288</v>
      </c>
    </row>
    <row r="10" spans="1:4" x14ac:dyDescent="0.2">
      <c r="A10" s="2" t="s">
        <v>3</v>
      </c>
      <c r="B10" s="13">
        <f>+Rounds!B12*Rounds!$B$3</f>
        <v>280</v>
      </c>
      <c r="C10" s="13">
        <f>SUM(Rounds!C12:BB12)</f>
        <v>292.68</v>
      </c>
      <c r="D10" s="8">
        <f>+C10/(Rounds!$B$3*Rounds!B12)</f>
        <v>1.0452857142857144</v>
      </c>
    </row>
    <row r="11" spans="1:4" x14ac:dyDescent="0.2">
      <c r="A11" s="2" t="s">
        <v>7</v>
      </c>
      <c r="B11" s="13">
        <f>+Rounds!B13*Rounds!$B$3</f>
        <v>280</v>
      </c>
      <c r="C11" s="13">
        <f>SUM(Rounds!C13:BB13)</f>
        <v>219.89</v>
      </c>
      <c r="D11" s="8">
        <f>+C11/(Rounds!$B$3*Rounds!B13)</f>
        <v>0.7853214285714285</v>
      </c>
    </row>
    <row r="12" spans="1:4" x14ac:dyDescent="0.2">
      <c r="A12" s="2" t="s">
        <v>9</v>
      </c>
      <c r="B12" s="13">
        <f>+Rounds!B14*Rounds!$B$3</f>
        <v>280</v>
      </c>
      <c r="C12" s="13">
        <f>SUM(Rounds!C14:BB14)</f>
        <v>130.5</v>
      </c>
      <c r="D12" s="8">
        <f>+C12/(Rounds!$B$3*Rounds!B14)</f>
        <v>0.46607142857142858</v>
      </c>
    </row>
    <row r="13" spans="1:4" x14ac:dyDescent="0.2">
      <c r="A13" s="3" t="s">
        <v>8</v>
      </c>
      <c r="B13" s="13">
        <f>+Rounds!B15*Rounds!$B$3</f>
        <v>280</v>
      </c>
      <c r="C13" s="13">
        <f>SUM(Rounds!C15:BB15)</f>
        <v>210.94</v>
      </c>
      <c r="D13" s="8">
        <f>+C13/(Rounds!$B$3*Rounds!B15)</f>
        <v>0.75335714285714284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2800</v>
      </c>
      <c r="C15" s="14">
        <f>SUM(C4:C13)</f>
        <v>2495.17</v>
      </c>
      <c r="D15" s="10">
        <f>+C15/(Rounds!$B$3*Rounds!B16)</f>
        <v>0.89113214285714293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P11" sqref="P11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14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76</v>
      </c>
      <c r="J6" s="17"/>
      <c r="K6" s="17"/>
      <c r="L6" s="17"/>
      <c r="M6" s="17"/>
      <c r="N6" s="17"/>
      <c r="O6" s="17">
        <v>68</v>
      </c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>
        <v>20.72</v>
      </c>
      <c r="K7" s="17"/>
      <c r="L7" s="17"/>
      <c r="M7" s="17"/>
      <c r="N7" s="17">
        <v>67.709999999999994</v>
      </c>
      <c r="O7" s="17"/>
      <c r="P7" s="17">
        <v>41</v>
      </c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40.98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>
        <v>150.54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>
        <v>20</v>
      </c>
      <c r="P10" s="17">
        <v>35</v>
      </c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>
        <v>59</v>
      </c>
      <c r="J11" s="17"/>
      <c r="K11" s="17"/>
      <c r="L11" s="17">
        <v>36.25</v>
      </c>
      <c r="M11" s="17">
        <v>17.5</v>
      </c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f>18.13+35</f>
        <v>53.129999999999995</v>
      </c>
      <c r="J12" s="17"/>
      <c r="K12" s="17">
        <v>50</v>
      </c>
      <c r="L12" s="17">
        <v>49</v>
      </c>
      <c r="M12" s="17">
        <v>36.86</v>
      </c>
      <c r="N12" s="17"/>
      <c r="O12" s="17"/>
      <c r="P12" s="17">
        <v>14.5</v>
      </c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>
        <v>15.89</v>
      </c>
      <c r="K13" s="17"/>
      <c r="L13" s="17"/>
      <c r="M13" s="17"/>
      <c r="N13" s="17"/>
      <c r="O13" s="17">
        <v>120</v>
      </c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>
        <v>37</v>
      </c>
      <c r="K14" s="17"/>
      <c r="L14" s="17"/>
      <c r="M14" s="17"/>
      <c r="N14" s="17">
        <v>23.5</v>
      </c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>
        <v>180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229.10999999999999</v>
      </c>
      <c r="J16" s="18">
        <f t="shared" ref="J16" si="6">SUM(J6:J15)</f>
        <v>73.61</v>
      </c>
      <c r="K16" s="18">
        <f t="shared" ref="K16" si="7">SUM(K6:K15)</f>
        <v>50</v>
      </c>
      <c r="L16" s="18">
        <f t="shared" ref="L16" si="8">SUM(L6:L15)</f>
        <v>235.79</v>
      </c>
      <c r="M16" s="18">
        <f t="shared" ref="M16" si="9">SUM(M6:M15)</f>
        <v>54.36</v>
      </c>
      <c r="N16" s="18">
        <f t="shared" ref="N16" si="10">SUM(N6:N15)</f>
        <v>91.21</v>
      </c>
      <c r="O16" s="18">
        <f t="shared" ref="O16" si="11">SUM(O6:O15)</f>
        <v>388</v>
      </c>
      <c r="P16" s="18">
        <f t="shared" ref="P16" si="12">SUM(P6:P15)</f>
        <v>90.5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2026-09-13T08:05:56Z</dcterms:modified>
</cp:coreProperties>
</file>