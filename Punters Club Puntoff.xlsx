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73" documentId="8_{09DE6AF2-D661-4051-8769-A551AD4E0A55}" xr6:coauthVersionLast="47" xr6:coauthVersionMax="47" xr10:uidLastSave="{EE5A02F1-3DE0-4B94-8EAE-9167A56C125E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2" l="1"/>
  <c r="C7" i="2"/>
  <c r="B6" i="2"/>
  <c r="R8" i="1"/>
  <c r="I12" i="1"/>
  <c r="I16" i="1" s="1"/>
  <c r="B13" i="2"/>
  <c r="B12" i="2"/>
  <c r="B11" i="2"/>
  <c r="B10" i="2"/>
  <c r="B9" i="2"/>
  <c r="B8" i="2"/>
  <c r="B7" i="2"/>
  <c r="B5" i="2"/>
  <c r="B4" i="2"/>
  <c r="C5" i="2"/>
  <c r="D5" i="2" s="1"/>
  <c r="C6" i="2"/>
  <c r="D6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D7" i="2" l="1"/>
  <c r="B15" i="2"/>
  <c r="B16" i="1"/>
  <c r="D15" i="2"/>
</calcChain>
</file>

<file path=xl/sharedStrings.xml><?xml version="1.0" encoding="utf-8"?>
<sst xmlns="http://schemas.openxmlformats.org/spreadsheetml/2006/main" count="33" uniqueCount="21">
  <si>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</si>
  <si>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</si>
  <si>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</si>
  <si>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</si>
  <si>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</si>
  <si>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</si>
  <si>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</si>
  <si>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</si>
  <si>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</si>
  <si>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</si>
  <si>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</si>
  <si>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</si>
  <si>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</si>
  <si>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</si>
  <si>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</si>
  <si>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</si>
  <si>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</si>
  <si>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</si>
  <si>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</si>
  <si>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</si>
  <si>
    <t xml:space="preserve">]\[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</si>
</sst>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I24"/>
  <sheetViews>
    <sheetView workbookViewId="0">
      <selection activeCell="F31" sqref="F31"/>
    </sheetView>
  </sheetViews>
  <sheetFormatPr defaultRowHeight="14.25" x14ac:dyDescent="0.2"/>
  <cols>
    <col min="1" max="1" width="21.5" customWidth="1"/>
    <col min="2" max="4" width="15.625" customWidth="1"/>
  </cols>
  <sheetData>
    <row r="1" spans="1:9" ht="19.5" customHeight="1" x14ac:dyDescent="0.25">
      <c r="A1" s="20" t="s">
        <v>18</v>
      </c>
      <c r="B1" s="7"/>
    </row>
    <row r="3" spans="1:9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9" x14ac:dyDescent="0.2">
      <c r="A4" s="2" t="s">
        <v>4</v>
      </c>
      <c r="B4" s="11">
        <f>+Rounds!B6*Rounds!$B$3</f>
        <v>400</v>
      </c>
      <c r="C4" s="11">
        <f>SUM(Rounds!C6:BB6)</f>
        <v>399.74</v>
      </c>
      <c r="D4" s="8">
        <f>+C4/(Rounds!$B$3*Rounds!B6)</f>
        <v>0.99935000000000007</v>
      </c>
    </row>
    <row r="5" spans="1:9" x14ac:dyDescent="0.2">
      <c r="A5" s="2" t="s">
        <v>5</v>
      </c>
      <c r="B5" s="11">
        <f>+Rounds!B7*Rounds!$B$3</f>
        <v>400</v>
      </c>
      <c r="C5" s="11">
        <f>SUM(Rounds!C7:BB7)</f>
        <v>441.88</v>
      </c>
      <c r="D5" s="8">
        <f>+C5/(Rounds!$B$3*Rounds!B7)</f>
        <v>1.1047</v>
      </c>
    </row>
    <row r="6" spans="1:9" x14ac:dyDescent="0.2">
      <c r="A6" s="2" t="s">
        <v>2</v>
      </c>
      <c r="B6" s="11">
        <f>+Rounds!B8*Rounds!$B$3-20</f>
        <v>380</v>
      </c>
      <c r="C6" s="11">
        <f>SUM(Rounds!C8:BB8)</f>
        <v>326.69</v>
      </c>
      <c r="D6" s="8">
        <f>+C6/(Rounds!$B$3*Rounds!B8)</f>
        <v>0.81672500000000003</v>
      </c>
    </row>
    <row r="7" spans="1:9" x14ac:dyDescent="0.2">
      <c r="A7" s="2" t="s">
        <v>0</v>
      </c>
      <c r="B7" s="11">
        <f>+Rounds!B9*Rounds!$B$3</f>
        <v>400</v>
      </c>
      <c r="C7" s="11">
        <f>SUM(Rounds!C9:BB9)-431</f>
        <v>200.64</v>
      </c>
      <c r="D7" s="8">
        <f>+C7/(Rounds!$B$3*Rounds!B9)</f>
        <v>0.50159999999999993</v>
      </c>
    </row>
    <row r="8" spans="1:9" x14ac:dyDescent="0.2">
      <c r="A8" s="2" t="s">
        <v>1</v>
      </c>
      <c r="B8" s="11">
        <f>+Rounds!B10*Rounds!$B$3</f>
        <v>400</v>
      </c>
      <c r="C8" s="11">
        <f>SUM(Rounds!C10:BB10)</f>
        <v>201</v>
      </c>
      <c r="D8" s="8">
        <f>+C8/(Rounds!$B$3*Rounds!B10)</f>
        <v>0.50249999999999995</v>
      </c>
      <c r="I8" s="22"/>
    </row>
    <row r="9" spans="1:9" x14ac:dyDescent="0.2">
      <c r="A9" s="2" t="s">
        <v>6</v>
      </c>
      <c r="B9" s="11">
        <f>+Rounds!B11*Rounds!$B$3</f>
        <v>400</v>
      </c>
      <c r="C9" s="11">
        <f>SUM(Rounds!C11:BB11)</f>
        <v>307.62</v>
      </c>
      <c r="D9" s="8">
        <f>+C9/(Rounds!$B$3*Rounds!B11)</f>
        <v>0.76905000000000001</v>
      </c>
    </row>
    <row r="10" spans="1:9" x14ac:dyDescent="0.2">
      <c r="A10" s="2" t="s">
        <v>3</v>
      </c>
      <c r="B10" s="11">
        <f>+Rounds!B12*Rounds!$B$3</f>
        <v>400</v>
      </c>
      <c r="C10" s="11">
        <f>SUM(Rounds!C12:BB12)</f>
        <v>408.53</v>
      </c>
      <c r="D10" s="8">
        <f>+C10/(Rounds!$B$3*Rounds!B12)</f>
        <v>1.021325</v>
      </c>
    </row>
    <row r="11" spans="1:9" x14ac:dyDescent="0.2">
      <c r="A11" s="2" t="s">
        <v>7</v>
      </c>
      <c r="B11" s="11">
        <f>+Rounds!B13*Rounds!$B$3</f>
        <v>400</v>
      </c>
      <c r="C11" s="11">
        <f>SUM(Rounds!C13:BB13)</f>
        <v>348.40999999999997</v>
      </c>
      <c r="D11" s="8">
        <f>+C11/(Rounds!$B$3*Rounds!B13)</f>
        <v>0.87102499999999994</v>
      </c>
    </row>
    <row r="12" spans="1:9" x14ac:dyDescent="0.2">
      <c r="A12" s="2" t="s">
        <v>9</v>
      </c>
      <c r="B12" s="11">
        <f>+Rounds!B14*Rounds!$B$3</f>
        <v>400</v>
      </c>
      <c r="C12" s="11">
        <f>SUM(Rounds!C14:BB14)</f>
        <v>260.5</v>
      </c>
      <c r="D12" s="8">
        <f>+C12/(Rounds!$B$3*Rounds!B14)</f>
        <v>0.65125</v>
      </c>
    </row>
    <row r="13" spans="1:9" x14ac:dyDescent="0.2">
      <c r="A13" s="3" t="s">
        <v>8</v>
      </c>
      <c r="B13" s="11">
        <f>+Rounds!B15*Rounds!$B$3</f>
        <v>400</v>
      </c>
      <c r="C13" s="11">
        <f>SUM(Rounds!C15:BB15)</f>
        <v>265.94</v>
      </c>
      <c r="D13" s="8">
        <f>+C13/(Rounds!$B$3*Rounds!B15)</f>
        <v>0.66484999999999994</v>
      </c>
    </row>
    <row r="14" spans="1:9" ht="15" hidden="1" customHeight="1" x14ac:dyDescent="0.2">
      <c r="A14" s="3"/>
      <c r="B14" s="11"/>
      <c r="C14" s="11"/>
      <c r="D14" s="8"/>
    </row>
    <row r="15" spans="1:9" ht="15" x14ac:dyDescent="0.25">
      <c r="A15" s="9" t="s">
        <v>10</v>
      </c>
      <c r="B15" s="13">
        <f>SUM(B4:B13)</f>
        <v>3980</v>
      </c>
      <c r="C15" s="12">
        <f>SUM(C4:C13)+431</f>
        <v>3591.9499999999994</v>
      </c>
      <c r="D15" s="10">
        <f>+C15/(Rounds!$B$3*Rounds!B16)</f>
        <v>0.89798749999999983</v>
      </c>
    </row>
    <row r="24" spans="3:3" x14ac:dyDescent="0.2">
      <c r="C24" t="s">
        <v>20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20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V12" sqref="V1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592.29</v>
      </c>
      <c r="Q2" s="21"/>
    </row>
    <row r="3" spans="1:54" ht="18" customHeight="1" x14ac:dyDescent="0.2">
      <c r="A3" s="17" t="s">
        <v>14</v>
      </c>
      <c r="B3" s="19">
        <v>20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>
        <v>61.24</v>
      </c>
      <c r="S7" s="15">
        <v>38</v>
      </c>
      <c r="T7" s="15">
        <v>23.21</v>
      </c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>
        <f>37.59+25.81</f>
        <v>63.400000000000006</v>
      </c>
      <c r="S8" s="15"/>
      <c r="T8" s="15"/>
      <c r="U8" s="15"/>
      <c r="V8" s="15">
        <v>41.94</v>
      </c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>
        <v>58</v>
      </c>
      <c r="S9" s="15">
        <v>140</v>
      </c>
      <c r="T9" s="15"/>
      <c r="U9" s="15">
        <v>87.75</v>
      </c>
      <c r="V9" s="15">
        <v>38</v>
      </c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>
        <v>55.87</v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>
        <v>21.75</v>
      </c>
      <c r="T12" s="15">
        <v>23</v>
      </c>
      <c r="U12" s="15"/>
      <c r="V12" s="15">
        <v>51.9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>
        <v>74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>
        <v>60</v>
      </c>
      <c r="T14" s="15"/>
      <c r="U14" s="15">
        <v>70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>
        <v>55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238.51000000000002</v>
      </c>
      <c r="S16" s="16">
        <f t="shared" ref="S16" si="15">SUM(S6:S15)</f>
        <v>388.75</v>
      </c>
      <c r="T16" s="16">
        <f t="shared" ref="T16" si="16">SUM(T6:T15)</f>
        <v>46.21</v>
      </c>
      <c r="U16" s="16">
        <f t="shared" ref="U16" si="17">SUM(U6:U15)</f>
        <v>157.75</v>
      </c>
      <c r="V16" s="16">
        <f t="shared" ref="V16" si="18">SUM(V6:V15)</f>
        <v>131.84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  <row r="19" spans="18:22" x14ac:dyDescent="0.2">
      <c r="R19" s="21"/>
    </row>
    <row r="20" spans="18:22" x14ac:dyDescent="0.2">
      <c r="R20" s="21"/>
      <c r="V2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2026-10-27T03:15:53Z</dcterms:modified>
</cp:coreProperties>
</file>