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295" documentId="8_{09DE6AF2-D661-4051-8769-A551AD4E0A55}" xr6:coauthVersionLast="47" xr6:coauthVersionMax="47" xr10:uidLastSave="{C2913B74-2B2F-46C0-A45C-88B75E510C2C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<sst xmlns="http://schemas.openxmlformats.org/spreadsheetml/2006/main" count="31" uniqueCount="19">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</sst>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19" sqref="D19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240</v>
      </c>
      <c r="C4" s="13">
        <f>SUM(Rounds!C6:BB6)</f>
        <v>271.74</v>
      </c>
      <c r="D4" s="8">
        <f>+C4/(Rounds!$B$3*Rounds!B6)</f>
        <v>1.13225</v>
      </c>
    </row>
    <row r="5" spans="1:4" x14ac:dyDescent="0.2">
      <c r="A5" s="2" t="s">
        <v>5</v>
      </c>
      <c r="B5" s="13">
        <f>+Rounds!B7*Rounds!$B$3</f>
        <v>240</v>
      </c>
      <c r="C5" s="13">
        <f>SUM(Rounds!C7:BB7)</f>
        <v>278.43</v>
      </c>
      <c r="D5" s="8">
        <f>+C5/(Rounds!$B$3*Rounds!B7)</f>
        <v>1.1601250000000001</v>
      </c>
    </row>
    <row r="6" spans="1:4" x14ac:dyDescent="0.2">
      <c r="A6" s="2" t="s">
        <v>2</v>
      </c>
      <c r="B6" s="13">
        <f>+Rounds!B8*Rounds!$B$3</f>
        <v>240</v>
      </c>
      <c r="C6" s="13">
        <f>SUM(Rounds!C8:BB8)</f>
        <v>221.35</v>
      </c>
      <c r="D6" s="8">
        <f>+C6/(Rounds!$B$3*Rounds!B8)</f>
        <v>0.92229166666666662</v>
      </c>
    </row>
    <row r="7" spans="1:4" x14ac:dyDescent="0.2">
      <c r="A7" s="2" t="s">
        <v>0</v>
      </c>
      <c r="B7" s="13">
        <f>+Rounds!B9*Rounds!$B$3</f>
        <v>240</v>
      </c>
      <c r="C7" s="13">
        <f>SUM(Rounds!C9:BB9)</f>
        <v>307.89</v>
      </c>
      <c r="D7" s="8">
        <f>+C7/(Rounds!$B$3*Rounds!B9)</f>
        <v>1.282875</v>
      </c>
    </row>
    <row r="8" spans="1:4" x14ac:dyDescent="0.2">
      <c r="A8" s="2" t="s">
        <v>1</v>
      </c>
      <c r="B8" s="13">
        <f>+Rounds!B10*Rounds!$B$3</f>
        <v>240</v>
      </c>
      <c r="C8" s="13">
        <f>SUM(Rounds!C10:BB10)</f>
        <v>146</v>
      </c>
      <c r="D8" s="8">
        <f>+C8/(Rounds!$B$3*Rounds!B10)</f>
        <v>0.60833333333333328</v>
      </c>
    </row>
    <row r="9" spans="1:4" x14ac:dyDescent="0.2">
      <c r="A9" s="2" t="s">
        <v>6</v>
      </c>
      <c r="B9" s="13">
        <f>+Rounds!B11*Rounds!$B$3</f>
        <v>240</v>
      </c>
      <c r="C9" s="13">
        <f>SUM(Rounds!C11:BB11)</f>
        <v>251.75</v>
      </c>
      <c r="D9" s="8">
        <f>+C9/(Rounds!$B$3*Rounds!B11)</f>
        <v>1.0489583333333334</v>
      </c>
    </row>
    <row r="10" spans="1:4" x14ac:dyDescent="0.2">
      <c r="A10" s="2" t="s">
        <v>3</v>
      </c>
      <c r="B10" s="13">
        <f>+Rounds!B12*Rounds!$B$3</f>
        <v>240</v>
      </c>
      <c r="C10" s="13">
        <f>SUM(Rounds!C12:BB12)</f>
        <v>278.18</v>
      </c>
      <c r="D10" s="8">
        <f>+C10/(Rounds!$B$3*Rounds!B12)</f>
        <v>1.1590833333333335</v>
      </c>
    </row>
    <row r="11" spans="1:4" x14ac:dyDescent="0.2">
      <c r="A11" s="2" t="s">
        <v>7</v>
      </c>
      <c r="B11" s="13">
        <f>+Rounds!B13*Rounds!$B$3</f>
        <v>240</v>
      </c>
      <c r="C11" s="13">
        <f>SUM(Rounds!C13:BB13)</f>
        <v>99.89</v>
      </c>
      <c r="D11" s="8">
        <f>+C11/(Rounds!$B$3*Rounds!B13)</f>
        <v>0.41620833333333335</v>
      </c>
    </row>
    <row r="12" spans="1:4" x14ac:dyDescent="0.2">
      <c r="A12" s="2" t="s">
        <v>9</v>
      </c>
      <c r="B12" s="13">
        <f>+Rounds!B14*Rounds!$B$3</f>
        <v>240</v>
      </c>
      <c r="C12" s="13">
        <f>SUM(Rounds!C14:BB14)</f>
        <v>130.5</v>
      </c>
      <c r="D12" s="8">
        <f>+C12/(Rounds!$B$3*Rounds!B14)</f>
        <v>0.54374999999999996</v>
      </c>
    </row>
    <row r="13" spans="1:4" x14ac:dyDescent="0.2">
      <c r="A13" s="3" t="s">
        <v>8</v>
      </c>
      <c r="B13" s="13">
        <f>+Rounds!B15*Rounds!$B$3</f>
        <v>240</v>
      </c>
      <c r="C13" s="13">
        <f>SUM(Rounds!C15:BB15)</f>
        <v>30.939999999999998</v>
      </c>
      <c r="D13" s="8">
        <f>+C13/(Rounds!$B$3*Rounds!B15)</f>
        <v>0.12891666666666665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2400</v>
      </c>
      <c r="C15" s="14">
        <f>SUM(C4:C13)</f>
        <v>2016.6700000000003</v>
      </c>
      <c r="D15" s="10">
        <f>+C15/(Rounds!$B$3*Rounds!B16)</f>
        <v>0.8402791666666668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N10" sqref="N10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12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>
        <v>20.72</v>
      </c>
      <c r="K7" s="17"/>
      <c r="L7" s="17"/>
      <c r="M7" s="17"/>
      <c r="N7" s="17">
        <v>67.709999999999994</v>
      </c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>
        <v>150.54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>
        <v>36.25</v>
      </c>
      <c r="M11" s="17">
        <v>17.5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>
        <v>50</v>
      </c>
      <c r="L12" s="17">
        <v>49</v>
      </c>
      <c r="M12" s="17">
        <v>36.86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>
        <v>15.89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>
        <v>37</v>
      </c>
      <c r="K14" s="17"/>
      <c r="L14" s="17"/>
      <c r="M14" s="17"/>
      <c r="N14" s="17">
        <v>23.5</v>
      </c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73.61</v>
      </c>
      <c r="K16" s="18">
        <f t="shared" ref="K16" si="7">SUM(K6:K15)</f>
        <v>50</v>
      </c>
      <c r="L16" s="18">
        <f t="shared" ref="L16" si="8">SUM(L6:L15)</f>
        <v>235.79</v>
      </c>
      <c r="M16" s="18">
        <f t="shared" ref="M16" si="9">SUM(M6:M15)</f>
        <v>54.36</v>
      </c>
      <c r="N16" s="18">
        <f t="shared" ref="N16" si="10">SUM(N6:N15)</f>
        <v>91.21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2026-08-30T10:53:43Z</dcterms:modified>
</cp:coreProperties>
</file>