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"/>
    </mc:Choice>
  </mc:AlternateContent>
  <xr:revisionPtr revIDLastSave="279" documentId="8_{09DE6AF2-D661-4051-8769-A551AD4E0A55}" xr6:coauthVersionLast="47" xr6:coauthVersionMax="47" xr10:uidLastSave="{3C9672D6-08ED-4B27-8B5E-7307EE8DBB14}"/>
  <bookViews>
    <workbookView xWindow="-28920" yWindow="-3480" windowWidth="29040" windowHeight="15720" activeTab="1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<sst xmlns="http://schemas.openxmlformats.org/spreadsheetml/2006/main" count="31" uniqueCount="19">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</sst>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workbookViewId="0">
      <selection activeCell="D22" sqref="D22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140</v>
      </c>
      <c r="C4" s="13">
        <f>SUM(Rounds!C6:BB6)</f>
        <v>271.74</v>
      </c>
      <c r="D4" s="8">
        <f>+C4/(Rounds!$B$3*Rounds!B6)</f>
        <v>1.9410000000000001</v>
      </c>
    </row>
    <row r="5" spans="1:4" x14ac:dyDescent="0.2">
      <c r="A5" s="2" t="s">
        <v>5</v>
      </c>
      <c r="B5" s="13">
        <f>+Rounds!B7*Rounds!$B$3</f>
        <v>140</v>
      </c>
      <c r="C5" s="13">
        <f>SUM(Rounds!C7:BB7)</f>
        <v>190</v>
      </c>
      <c r="D5" s="8">
        <f>+C5/(Rounds!$B$3*Rounds!B7)</f>
        <v>1.3571428571428572</v>
      </c>
    </row>
    <row r="6" spans="1:4" x14ac:dyDescent="0.2">
      <c r="A6" s="2" t="s">
        <v>2</v>
      </c>
      <c r="B6" s="13">
        <f>+Rounds!B8*Rounds!$B$3</f>
        <v>140</v>
      </c>
      <c r="C6" s="13">
        <f>SUM(Rounds!C8:BB8)</f>
        <v>221.35</v>
      </c>
      <c r="D6" s="8">
        <f>+C6/(Rounds!$B$3*Rounds!B8)</f>
        <v>1.5810714285714285</v>
      </c>
    </row>
    <row r="7" spans="1:4" x14ac:dyDescent="0.2">
      <c r="A7" s="2" t="s">
        <v>0</v>
      </c>
      <c r="B7" s="13">
        <f>+Rounds!B9*Rounds!$B$3</f>
        <v>140</v>
      </c>
      <c r="C7" s="13">
        <f>SUM(Rounds!C9:BB9)</f>
        <v>157.35</v>
      </c>
      <c r="D7" s="8">
        <f>+C7/(Rounds!$B$3*Rounds!B9)</f>
        <v>1.1239285714285714</v>
      </c>
    </row>
    <row r="8" spans="1:4" x14ac:dyDescent="0.2">
      <c r="A8" s="2" t="s">
        <v>1</v>
      </c>
      <c r="B8" s="13">
        <f>+Rounds!B10*Rounds!$B$3</f>
        <v>140</v>
      </c>
      <c r="C8" s="13">
        <f>SUM(Rounds!C10:BB10)</f>
        <v>146</v>
      </c>
      <c r="D8" s="8">
        <f>+C8/(Rounds!$B$3*Rounds!B10)</f>
        <v>1.0428571428571429</v>
      </c>
    </row>
    <row r="9" spans="1:4" x14ac:dyDescent="0.2">
      <c r="A9" s="2" t="s">
        <v>6</v>
      </c>
      <c r="B9" s="13">
        <f>+Rounds!B11*Rounds!$B$3</f>
        <v>140</v>
      </c>
      <c r="C9" s="13">
        <f>SUM(Rounds!C11:BB11)</f>
        <v>198</v>
      </c>
      <c r="D9" s="8">
        <f>+C9/(Rounds!$B$3*Rounds!B11)</f>
        <v>1.4142857142857144</v>
      </c>
    </row>
    <row r="10" spans="1:4" x14ac:dyDescent="0.2">
      <c r="A10" s="2" t="s">
        <v>3</v>
      </c>
      <c r="B10" s="13">
        <f>+Rounds!B12*Rounds!$B$3</f>
        <v>140</v>
      </c>
      <c r="C10" s="13">
        <f>SUM(Rounds!C12:BB12)</f>
        <v>142.32</v>
      </c>
      <c r="D10" s="8">
        <f>+C10/(Rounds!$B$3*Rounds!B12)</f>
        <v>1.0165714285714285</v>
      </c>
    </row>
    <row r="11" spans="1:4" x14ac:dyDescent="0.2">
      <c r="A11" s="2" t="s">
        <v>7</v>
      </c>
      <c r="B11" s="13">
        <f>+Rounds!B13*Rounds!$B$3</f>
        <v>140</v>
      </c>
      <c r="C11" s="13">
        <f>SUM(Rounds!C13:BB13)</f>
        <v>84</v>
      </c>
      <c r="D11" s="8">
        <f>+C11/(Rounds!$B$3*Rounds!B13)</f>
        <v>0.6</v>
      </c>
    </row>
    <row r="12" spans="1:4" x14ac:dyDescent="0.2">
      <c r="A12" s="2" t="s">
        <v>9</v>
      </c>
      <c r="B12" s="13">
        <f>+Rounds!B14*Rounds!$B$3</f>
        <v>140</v>
      </c>
      <c r="C12" s="13">
        <f>SUM(Rounds!C14:BB14)</f>
        <v>70</v>
      </c>
      <c r="D12" s="8">
        <f>+C12/(Rounds!$B$3*Rounds!B14)</f>
        <v>0.5</v>
      </c>
    </row>
    <row r="13" spans="1:4" x14ac:dyDescent="0.2">
      <c r="A13" s="3" t="s">
        <v>8</v>
      </c>
      <c r="B13" s="13">
        <f>+Rounds!B15*Rounds!$B$3</f>
        <v>140</v>
      </c>
      <c r="C13" s="13">
        <f>SUM(Rounds!C15:BB15)</f>
        <v>30.939999999999998</v>
      </c>
      <c r="D13" s="8">
        <f>+C13/(Rounds!$B$3*Rounds!B15)</f>
        <v>0.22099999999999997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1400</v>
      </c>
      <c r="C15" s="14">
        <f>SUM(C4:C13)</f>
        <v>1511.7</v>
      </c>
      <c r="D15" s="10">
        <f>+C15/(Rounds!$B$3*Rounds!B16)</f>
        <v>1.0797857142857143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tabSelected="1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L25" sqref="L25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7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76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40.98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>
        <v>59</v>
      </c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>
        <f>18.13+35</f>
        <v>53.129999999999995</v>
      </c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229.10999999999999</v>
      </c>
      <c r="J16" s="18">
        <f t="shared" ref="J16" si="6">SUM(J6:J15)</f>
        <v>0</v>
      </c>
      <c r="K16" s="18">
        <f t="shared" ref="K16" si="7">SUM(K6:K15)</f>
        <v>0</v>
      </c>
      <c r="L16" s="18">
        <f t="shared" ref="L16" si="8">SUM(L6:L15)</f>
        <v>0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2026-07-30T08:01:52Z</dcterms:modified>
</cp:coreProperties>
</file>