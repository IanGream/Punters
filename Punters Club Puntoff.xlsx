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333" documentId="8_{09DE6AF2-D661-4051-8769-A551AD4E0A55}" xr6:coauthVersionLast="47" xr6:coauthVersionMax="47" xr10:uidLastSave="{397E3171-3E13-445A-B752-DA40560F7182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<sst xmlns="http://schemas.openxmlformats.org/spreadsheetml/2006/main" count="32" uniqueCount="20">
  <si>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</si>
  <si>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</si>
  <si>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</si>
  <si>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</si>
  <si>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</si>
  <si>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</si>
  <si>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</si>
  <si>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</si>
  <si>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</si>
  <si>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</si>
  <si>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</si>
  <si>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</si>
  <si>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</si>
  <si>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</si>
  <si>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</si>
  <si>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</si>
  <si>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</si>
  <si>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</si>
  <si>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</si>
  <si>
    <t>Sportsbet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</si>
</sst>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7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4" sqref="D4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9.5" customHeight="1" x14ac:dyDescent="0.25">
      <c r="A1" s="20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4" t="s">
        <v>13</v>
      </c>
    </row>
    <row r="4" spans="1:4" x14ac:dyDescent="0.2">
      <c r="A4" s="2" t="s">
        <v>4</v>
      </c>
      <c r="B4" s="11">
        <f>+Rounds!B6*Rounds!$B$3</f>
        <v>300</v>
      </c>
      <c r="C4" s="11">
        <f>SUM(Rounds!C6:BB6)</f>
        <v>399.74</v>
      </c>
      <c r="D4" s="8">
        <f>+C4/(Rounds!$B$3*Rounds!B6)</f>
        <v>1.3324666666666667</v>
      </c>
    </row>
    <row r="5" spans="1:4" x14ac:dyDescent="0.2">
      <c r="A5" s="2" t="s">
        <v>5</v>
      </c>
      <c r="B5" s="11">
        <f>+Rounds!B7*Rounds!$B$3</f>
        <v>300</v>
      </c>
      <c r="C5" s="11">
        <f>SUM(Rounds!C7:BB7)</f>
        <v>319.43</v>
      </c>
      <c r="D5" s="8">
        <f>+C5/(Rounds!$B$3*Rounds!B7)</f>
        <v>1.0647666666666666</v>
      </c>
    </row>
    <row r="6" spans="1:4" x14ac:dyDescent="0.2">
      <c r="A6" s="2" t="s">
        <v>2</v>
      </c>
      <c r="B6" s="11">
        <f>+Rounds!B8*Rounds!$B$3</f>
        <v>300</v>
      </c>
      <c r="C6" s="11">
        <f>SUM(Rounds!C8:BB8)</f>
        <v>221.35</v>
      </c>
      <c r="D6" s="8">
        <f>+C6/(Rounds!$B$3*Rounds!B8)</f>
        <v>0.73783333333333334</v>
      </c>
    </row>
    <row r="7" spans="1:4" x14ac:dyDescent="0.2">
      <c r="A7" s="2" t="s">
        <v>0</v>
      </c>
      <c r="B7" s="11">
        <f>+Rounds!B9*Rounds!$B$3</f>
        <v>300</v>
      </c>
      <c r="C7" s="11">
        <f>SUM(Rounds!C9:BB9)</f>
        <v>307.89</v>
      </c>
      <c r="D7" s="8">
        <f>+C7/(Rounds!$B$3*Rounds!B9)</f>
        <v>1.0263</v>
      </c>
    </row>
    <row r="8" spans="1:4" x14ac:dyDescent="0.2">
      <c r="A8" s="2" t="s">
        <v>1</v>
      </c>
      <c r="B8" s="11">
        <f>+Rounds!B10*Rounds!$B$3</f>
        <v>300</v>
      </c>
      <c r="C8" s="11">
        <f>SUM(Rounds!C10:BB10)</f>
        <v>201</v>
      </c>
      <c r="D8" s="8">
        <f>+C8/(Rounds!$B$3*Rounds!B10)</f>
        <v>0.67</v>
      </c>
    </row>
    <row r="9" spans="1:4" x14ac:dyDescent="0.2">
      <c r="A9" s="2" t="s">
        <v>6</v>
      </c>
      <c r="B9" s="11">
        <f>+Rounds!B11*Rounds!$B$3</f>
        <v>300</v>
      </c>
      <c r="C9" s="11">
        <f>SUM(Rounds!C11:BB11)</f>
        <v>251.75</v>
      </c>
      <c r="D9" s="8">
        <f>+C9/(Rounds!$B$3*Rounds!B11)</f>
        <v>0.83916666666666662</v>
      </c>
    </row>
    <row r="10" spans="1:4" x14ac:dyDescent="0.2">
      <c r="A10" s="2" t="s">
        <v>3</v>
      </c>
      <c r="B10" s="11">
        <f>+Rounds!B12*Rounds!$B$3</f>
        <v>300</v>
      </c>
      <c r="C10" s="11">
        <f>SUM(Rounds!C12:BB12)</f>
        <v>311.88</v>
      </c>
      <c r="D10" s="8">
        <f>+C10/(Rounds!$B$3*Rounds!B12)</f>
        <v>1.0396000000000001</v>
      </c>
    </row>
    <row r="11" spans="1:4" x14ac:dyDescent="0.2">
      <c r="A11" s="2" t="s">
        <v>7</v>
      </c>
      <c r="B11" s="11">
        <f>+Rounds!B13*Rounds!$B$3</f>
        <v>300</v>
      </c>
      <c r="C11" s="11">
        <f>SUM(Rounds!C13:BB13)</f>
        <v>274.40999999999997</v>
      </c>
      <c r="D11" s="8">
        <f>+C11/(Rounds!$B$3*Rounds!B13)</f>
        <v>0.91469999999999985</v>
      </c>
    </row>
    <row r="12" spans="1:4" x14ac:dyDescent="0.2">
      <c r="A12" s="2" t="s">
        <v>9</v>
      </c>
      <c r="B12" s="11">
        <f>+Rounds!B14*Rounds!$B$3</f>
        <v>300</v>
      </c>
      <c r="C12" s="11">
        <f>SUM(Rounds!C14:BB14)</f>
        <v>130.5</v>
      </c>
      <c r="D12" s="8">
        <f>+C12/(Rounds!$B$3*Rounds!B14)</f>
        <v>0.435</v>
      </c>
    </row>
    <row r="13" spans="1:4" x14ac:dyDescent="0.2">
      <c r="A13" s="3" t="s">
        <v>8</v>
      </c>
      <c r="B13" s="11">
        <f>+Rounds!B15*Rounds!$B$3</f>
        <v>300</v>
      </c>
      <c r="C13" s="11">
        <f>SUM(Rounds!C15:BB15)</f>
        <v>210.94</v>
      </c>
      <c r="D13" s="8">
        <f>+C13/(Rounds!$B$3*Rounds!B15)</f>
        <v>0.70313333333333328</v>
      </c>
    </row>
    <row r="14" spans="1:4" ht="15" hidden="1" customHeight="1" x14ac:dyDescent="0.2">
      <c r="A14" s="3"/>
      <c r="B14" s="11"/>
      <c r="C14" s="11"/>
      <c r="D14" s="8"/>
    </row>
    <row r="15" spans="1:4" ht="15" x14ac:dyDescent="0.25">
      <c r="A15" s="9" t="s">
        <v>10</v>
      </c>
      <c r="B15" s="13">
        <f>SUM(B4:B13)</f>
        <v>3000</v>
      </c>
      <c r="C15" s="12">
        <f>SUM(C4:C13)</f>
        <v>2628.89</v>
      </c>
      <c r="D15" s="10">
        <f>+C15/(Rounds!$B$3*Rounds!B16)</f>
        <v>0.87629666666666661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M2" sqref="M2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28.5" customHeight="1" x14ac:dyDescent="0.2">
      <c r="A1" s="20" t="s">
        <v>17</v>
      </c>
    </row>
    <row r="2" spans="1:54" ht="18" customHeight="1" x14ac:dyDescent="0.2">
      <c r="A2" s="17" t="s">
        <v>19</v>
      </c>
      <c r="B2" s="18">
        <v>624.04999999999995</v>
      </c>
      <c r="Q2" s="21"/>
    </row>
    <row r="3" spans="1:54" ht="18" customHeight="1" x14ac:dyDescent="0.2">
      <c r="A3" s="17" t="s">
        <v>14</v>
      </c>
      <c r="B3" s="19">
        <v>15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5">
        <v>20</v>
      </c>
      <c r="C6" s="15">
        <v>43.74</v>
      </c>
      <c r="D6" s="15"/>
      <c r="E6" s="15"/>
      <c r="F6" s="15"/>
      <c r="G6" s="15">
        <v>88</v>
      </c>
      <c r="H6" s="15">
        <v>64</v>
      </c>
      <c r="I6" s="15">
        <v>76</v>
      </c>
      <c r="J6" s="15"/>
      <c r="K6" s="15"/>
      <c r="L6" s="15"/>
      <c r="M6" s="15"/>
      <c r="N6" s="15"/>
      <c r="O6" s="15">
        <v>68</v>
      </c>
      <c r="P6" s="15"/>
      <c r="Q6" s="15">
        <v>60</v>
      </c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spans="1:54" x14ac:dyDescent="0.2">
      <c r="A7" s="2" t="s">
        <v>5</v>
      </c>
      <c r="B7" s="15">
        <f>+B6</f>
        <v>20</v>
      </c>
      <c r="C7" s="15"/>
      <c r="D7" s="15">
        <v>40</v>
      </c>
      <c r="E7" s="15"/>
      <c r="F7" s="15"/>
      <c r="G7" s="15"/>
      <c r="H7" s="15">
        <v>150</v>
      </c>
      <c r="I7" s="15"/>
      <c r="J7" s="15">
        <v>20.72</v>
      </c>
      <c r="K7" s="15"/>
      <c r="L7" s="15"/>
      <c r="M7" s="15"/>
      <c r="N7" s="15">
        <v>67.709999999999994</v>
      </c>
      <c r="O7" s="15"/>
      <c r="P7" s="15">
        <v>41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spans="1:54" x14ac:dyDescent="0.2">
      <c r="A8" s="2" t="s">
        <v>2</v>
      </c>
      <c r="B8" s="15">
        <f t="shared" ref="B8:B15" si="3">+B7</f>
        <v>20</v>
      </c>
      <c r="C8" s="15">
        <v>44.7</v>
      </c>
      <c r="D8" s="15"/>
      <c r="E8" s="15"/>
      <c r="F8" s="15">
        <v>70</v>
      </c>
      <c r="G8" s="15"/>
      <c r="H8" s="15">
        <v>65.67</v>
      </c>
      <c r="I8" s="15">
        <v>40.98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spans="1:54" x14ac:dyDescent="0.2">
      <c r="A9" s="2" t="s">
        <v>0</v>
      </c>
      <c r="B9" s="15">
        <f t="shared" si="3"/>
        <v>20</v>
      </c>
      <c r="C9" s="15">
        <v>82.35</v>
      </c>
      <c r="D9" s="15"/>
      <c r="E9" s="15"/>
      <c r="F9" s="15">
        <v>75</v>
      </c>
      <c r="G9" s="15"/>
      <c r="H9" s="15"/>
      <c r="I9" s="15"/>
      <c r="J9" s="15"/>
      <c r="K9" s="15"/>
      <c r="L9" s="15">
        <v>150.54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</row>
    <row r="10" spans="1:54" x14ac:dyDescent="0.2">
      <c r="A10" s="2" t="s">
        <v>1</v>
      </c>
      <c r="B10" s="15">
        <f t="shared" si="3"/>
        <v>20</v>
      </c>
      <c r="C10" s="15">
        <v>80</v>
      </c>
      <c r="D10" s="15"/>
      <c r="E10" s="15"/>
      <c r="F10" s="15">
        <v>66</v>
      </c>
      <c r="G10" s="15"/>
      <c r="H10" s="15"/>
      <c r="I10" s="15"/>
      <c r="J10" s="15"/>
      <c r="K10" s="15"/>
      <c r="L10" s="15"/>
      <c r="M10" s="15"/>
      <c r="N10" s="15"/>
      <c r="O10" s="15">
        <v>20</v>
      </c>
      <c r="P10" s="15">
        <v>35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</row>
    <row r="11" spans="1:54" x14ac:dyDescent="0.2">
      <c r="A11" s="2" t="s">
        <v>6</v>
      </c>
      <c r="B11" s="15">
        <f t="shared" si="3"/>
        <v>20</v>
      </c>
      <c r="C11" s="15">
        <v>34</v>
      </c>
      <c r="D11" s="15"/>
      <c r="E11" s="15"/>
      <c r="F11" s="15">
        <v>37.5</v>
      </c>
      <c r="G11" s="15">
        <v>67.5</v>
      </c>
      <c r="H11" s="15"/>
      <c r="I11" s="15">
        <v>59</v>
      </c>
      <c r="J11" s="15"/>
      <c r="K11" s="15"/>
      <c r="L11" s="15">
        <v>36.25</v>
      </c>
      <c r="M11" s="15">
        <v>17.5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</row>
    <row r="12" spans="1:54" x14ac:dyDescent="0.2">
      <c r="A12" s="2" t="s">
        <v>3</v>
      </c>
      <c r="B12" s="15">
        <f t="shared" si="3"/>
        <v>20</v>
      </c>
      <c r="C12" s="15">
        <v>44.19</v>
      </c>
      <c r="D12" s="15"/>
      <c r="E12" s="15">
        <v>25</v>
      </c>
      <c r="F12" s="15"/>
      <c r="G12" s="15">
        <v>20</v>
      </c>
      <c r="H12" s="15"/>
      <c r="I12" s="15">
        <f>18.13+35</f>
        <v>53.129999999999995</v>
      </c>
      <c r="J12" s="15"/>
      <c r="K12" s="15">
        <v>50</v>
      </c>
      <c r="L12" s="15">
        <v>49</v>
      </c>
      <c r="M12" s="15">
        <v>36.86</v>
      </c>
      <c r="N12" s="15"/>
      <c r="O12" s="15"/>
      <c r="P12" s="15">
        <v>14.5</v>
      </c>
      <c r="Q12" s="15">
        <v>19.2</v>
      </c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</row>
    <row r="13" spans="1:54" x14ac:dyDescent="0.2">
      <c r="A13" s="2" t="s">
        <v>7</v>
      </c>
      <c r="B13" s="15">
        <f t="shared" si="3"/>
        <v>20</v>
      </c>
      <c r="C13" s="15"/>
      <c r="D13" s="15"/>
      <c r="E13" s="15"/>
      <c r="F13" s="15"/>
      <c r="G13" s="15">
        <v>34</v>
      </c>
      <c r="H13" s="15">
        <v>50</v>
      </c>
      <c r="I13" s="15"/>
      <c r="J13" s="15">
        <v>15.89</v>
      </c>
      <c r="K13" s="15"/>
      <c r="L13" s="15"/>
      <c r="M13" s="15"/>
      <c r="N13" s="15"/>
      <c r="O13" s="15">
        <v>120</v>
      </c>
      <c r="P13" s="15"/>
      <c r="Q13" s="15">
        <v>54.52</v>
      </c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</row>
    <row r="14" spans="1:54" x14ac:dyDescent="0.2">
      <c r="A14" s="2" t="s">
        <v>9</v>
      </c>
      <c r="B14" s="15">
        <f t="shared" si="3"/>
        <v>20</v>
      </c>
      <c r="C14" s="15"/>
      <c r="D14" s="15"/>
      <c r="E14" s="15"/>
      <c r="F14" s="15">
        <v>70</v>
      </c>
      <c r="G14" s="15"/>
      <c r="H14" s="15"/>
      <c r="I14" s="15"/>
      <c r="J14" s="15">
        <v>37</v>
      </c>
      <c r="K14" s="15"/>
      <c r="L14" s="15"/>
      <c r="M14" s="15"/>
      <c r="N14" s="15">
        <v>23.5</v>
      </c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</row>
    <row r="15" spans="1:54" x14ac:dyDescent="0.2">
      <c r="A15" s="3" t="s">
        <v>8</v>
      </c>
      <c r="B15" s="15">
        <f t="shared" si="3"/>
        <v>20</v>
      </c>
      <c r="C15" s="15"/>
      <c r="D15" s="15"/>
      <c r="E15" s="15"/>
      <c r="F15" s="15"/>
      <c r="G15" s="15">
        <v>12.44</v>
      </c>
      <c r="H15" s="15">
        <v>18.5</v>
      </c>
      <c r="I15" s="15"/>
      <c r="J15" s="15"/>
      <c r="K15" s="15"/>
      <c r="L15" s="15"/>
      <c r="M15" s="15"/>
      <c r="N15" s="15"/>
      <c r="O15" s="15">
        <v>180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</row>
    <row r="16" spans="1:54" x14ac:dyDescent="0.2">
      <c r="A16" s="5" t="s">
        <v>10</v>
      </c>
      <c r="B16" s="16">
        <f>SUM(B6:B15)</f>
        <v>200</v>
      </c>
      <c r="C16" s="16">
        <f>SUM(C6:C15)</f>
        <v>328.97999999999996</v>
      </c>
      <c r="D16" s="16">
        <f t="shared" ref="D16:H16" si="4">SUM(D6:D15)</f>
        <v>40</v>
      </c>
      <c r="E16" s="16">
        <f t="shared" si="4"/>
        <v>25</v>
      </c>
      <c r="F16" s="16">
        <f t="shared" si="4"/>
        <v>318.5</v>
      </c>
      <c r="G16" s="16">
        <f t="shared" si="4"/>
        <v>221.94</v>
      </c>
      <c r="H16" s="16">
        <f t="shared" si="4"/>
        <v>348.17</v>
      </c>
      <c r="I16" s="16">
        <f t="shared" ref="I16" si="5">SUM(I6:I15)</f>
        <v>229.10999999999999</v>
      </c>
      <c r="J16" s="16">
        <f t="shared" ref="J16" si="6">SUM(J6:J15)</f>
        <v>73.61</v>
      </c>
      <c r="K16" s="16">
        <f t="shared" ref="K16" si="7">SUM(K6:K15)</f>
        <v>50</v>
      </c>
      <c r="L16" s="16">
        <f t="shared" ref="L16" si="8">SUM(L6:L15)</f>
        <v>235.79</v>
      </c>
      <c r="M16" s="16">
        <f t="shared" ref="M16" si="9">SUM(M6:M15)</f>
        <v>54.36</v>
      </c>
      <c r="N16" s="16">
        <f t="shared" ref="N16" si="10">SUM(N6:N15)</f>
        <v>91.21</v>
      </c>
      <c r="O16" s="16">
        <f t="shared" ref="O16" si="11">SUM(O6:O15)</f>
        <v>388</v>
      </c>
      <c r="P16" s="16">
        <f t="shared" ref="P16" si="12">SUM(P6:P15)</f>
        <v>90.5</v>
      </c>
      <c r="Q16" s="16">
        <f t="shared" ref="Q16" si="13">SUM(Q6:Q15)</f>
        <v>133.72</v>
      </c>
      <c r="R16" s="16">
        <f t="shared" ref="R16" si="14">SUM(R6:R15)</f>
        <v>0</v>
      </c>
      <c r="S16" s="16">
        <f t="shared" ref="S16" si="15">SUM(S6:S15)</f>
        <v>0</v>
      </c>
      <c r="T16" s="16">
        <f t="shared" ref="T16" si="16">SUM(T6:T15)</f>
        <v>0</v>
      </c>
      <c r="U16" s="16">
        <f t="shared" ref="U16" si="17">SUM(U6:U15)</f>
        <v>0</v>
      </c>
      <c r="V16" s="16">
        <f t="shared" ref="V16" si="18">SUM(V6:V15)</f>
        <v>0</v>
      </c>
      <c r="W16" s="16">
        <f t="shared" ref="W16" si="19">SUM(W6:W15)</f>
        <v>0</v>
      </c>
      <c r="X16" s="16">
        <f t="shared" ref="X16" si="20">SUM(X6:X15)</f>
        <v>0</v>
      </c>
      <c r="Y16" s="16">
        <f t="shared" ref="Y16" si="21">SUM(Y6:Y15)</f>
        <v>0</v>
      </c>
      <c r="Z16" s="16">
        <f t="shared" ref="Z16" si="22">SUM(Z6:Z15)</f>
        <v>0</v>
      </c>
      <c r="AA16" s="16">
        <f t="shared" ref="AA16" si="23">SUM(AA6:AA15)</f>
        <v>0</v>
      </c>
      <c r="AB16" s="16">
        <f t="shared" ref="AB16" si="24">SUM(AB6:AB15)</f>
        <v>0</v>
      </c>
      <c r="AC16" s="16">
        <f t="shared" ref="AC16" si="25">SUM(AC6:AC15)</f>
        <v>0</v>
      </c>
      <c r="AD16" s="16">
        <f t="shared" ref="AD16" si="26">SUM(AD6:AD15)</f>
        <v>0</v>
      </c>
      <c r="AE16" s="16">
        <f t="shared" ref="AE16" si="27">SUM(AE6:AE15)</f>
        <v>0</v>
      </c>
      <c r="AF16" s="16">
        <f t="shared" ref="AF16" si="28">SUM(AF6:AF15)</f>
        <v>0</v>
      </c>
      <c r="AG16" s="16">
        <f t="shared" ref="AG16" si="29">SUM(AG6:AG15)</f>
        <v>0</v>
      </c>
      <c r="AH16" s="16">
        <f t="shared" ref="AH16" si="30">SUM(AH6:AH15)</f>
        <v>0</v>
      </c>
      <c r="AI16" s="16">
        <f t="shared" ref="AI16" si="31">SUM(AI6:AI15)</f>
        <v>0</v>
      </c>
      <c r="AJ16" s="16">
        <f t="shared" ref="AJ16" si="32">SUM(AJ6:AJ15)</f>
        <v>0</v>
      </c>
      <c r="AK16" s="16">
        <f t="shared" ref="AK16" si="33">SUM(AK6:AK15)</f>
        <v>0</v>
      </c>
      <c r="AL16" s="16">
        <f t="shared" ref="AL16" si="34">SUM(AL6:AL15)</f>
        <v>0</v>
      </c>
      <c r="AM16" s="16">
        <f t="shared" ref="AM16" si="35">SUM(AM6:AM15)</f>
        <v>0</v>
      </c>
      <c r="AN16" s="16">
        <f t="shared" ref="AN16" si="36">SUM(AN6:AN15)</f>
        <v>0</v>
      </c>
      <c r="AO16" s="16">
        <f t="shared" ref="AO16" si="37">SUM(AO6:AO15)</f>
        <v>0</v>
      </c>
      <c r="AP16" s="16">
        <f t="shared" ref="AP16" si="38">SUM(AP6:AP15)</f>
        <v>0</v>
      </c>
      <c r="AQ16" s="16">
        <f t="shared" ref="AQ16" si="39">SUM(AQ6:AQ15)</f>
        <v>0</v>
      </c>
      <c r="AR16" s="16">
        <f t="shared" ref="AR16" si="40">SUM(AR6:AR15)</f>
        <v>0</v>
      </c>
      <c r="AS16" s="16">
        <f t="shared" ref="AS16" si="41">SUM(AS6:AS15)</f>
        <v>0</v>
      </c>
      <c r="AT16" s="16">
        <f t="shared" ref="AT16" si="42">SUM(AT6:AT15)</f>
        <v>0</v>
      </c>
      <c r="AU16" s="16">
        <f t="shared" ref="AU16" si="43">SUM(AU6:AU15)</f>
        <v>0</v>
      </c>
      <c r="AV16" s="16">
        <f t="shared" ref="AV16" si="44">SUM(AV6:AV15)</f>
        <v>0</v>
      </c>
      <c r="AW16" s="16">
        <f t="shared" ref="AW16" si="45">SUM(AW6:AW15)</f>
        <v>0</v>
      </c>
      <c r="AX16" s="16">
        <f t="shared" ref="AX16" si="46">SUM(AX6:AX15)</f>
        <v>0</v>
      </c>
      <c r="AY16" s="16">
        <f t="shared" ref="AY16" si="47">SUM(AY6:AY15)</f>
        <v>0</v>
      </c>
      <c r="AZ16" s="16">
        <f t="shared" ref="AZ16" si="48">SUM(AZ6:AZ15)</f>
        <v>0</v>
      </c>
      <c r="BA16" s="16">
        <f t="shared" ref="BA16" si="49">SUM(BA6:BA15)</f>
        <v>0</v>
      </c>
      <c r="BB16" s="16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2026-09-21T06:11:36Z</dcterms:modified>
</cp:coreProperties>
</file>