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11b6495b8904e4/Documents/Ian/Tips/Punters/"/>
    </mc:Choice>
  </mc:AlternateContent>
  <xr:revisionPtr revIDLastSave="350" documentId="8_{09DE6AF2-D661-4051-8769-A551AD4E0A55}" xr6:coauthVersionLast="47" xr6:coauthVersionMax="47" xr10:uidLastSave="{DE521AE4-5899-4016-9E22-14CB7D225EF0}"/>
  <bookViews>
    <workbookView xWindow="-28920" yWindow="-3480" windowWidth="29040" windowHeight="15720" xr2:uid="{C5D5C863-041B-4852-962B-338AE112943A}"/>
  </bookViews>
  <sheets>
    <sheet name="Summary" sheetId="2" r:id="rId1"/>
    <sheet name="Rounds" sheetId="1" r:id="rId2"/>
  </sheets>
  <definedNames>
    <definedName name="_xlnm._FilterDatabase" localSheetId="1" hidden="1">Rounds!$A$5:$H$15</definedName>
    <definedName name="_xlnm._FilterDatabase" localSheetId="0" hidden="1">Summary!$A$3:$D$13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8" i="1" l="1"/>
  <c r="I12" i="1"/>
  <c r="I16" i="1" s="1"/>
  <c r="B13" i="2"/>
  <c r="B12" i="2"/>
  <c r="B11" i="2"/>
  <c r="B10" i="2"/>
  <c r="B9" i="2"/>
  <c r="B8" i="2"/>
  <c r="B7" i="2"/>
  <c r="B6" i="2"/>
  <c r="B5" i="2"/>
  <c r="B4" i="2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4" i="2"/>
  <c r="D4" i="2" s="1"/>
  <c r="B7" i="1"/>
  <c r="B8" i="1" s="1"/>
  <c r="B9" i="1" s="1"/>
  <c r="B10" i="1" s="1"/>
  <c r="B11" i="1" s="1"/>
  <c r="B12" i="1" s="1"/>
  <c r="B13" i="1" s="1"/>
  <c r="B14" i="1" s="1"/>
  <c r="B15" i="1" s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D16" i="1"/>
  <c r="E16" i="1"/>
  <c r="F16" i="1"/>
  <c r="G16" i="1"/>
  <c r="H16" i="1"/>
  <c r="D5" i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C16" i="1"/>
  <c r="B15" i="2" l="1"/>
  <c r="B16" i="1"/>
  <c r="C15" i="2"/>
  <c r="D15" i="2" s="1"/>
</calcChain>
</file>

<file path=xl/sharedStrings.xml><?xml version="1.0" encoding="utf-8"?>
<sst xmlns="http://schemas.openxmlformats.org/spreadsheetml/2006/main" count="32" uniqueCount="20">
  <si>
    <t>Phil</t>
  </si>
  <si>
    <t>Joicey</t>
  </si>
  <si>
    <t>Chim</t>
  </si>
  <si>
    <t>Wilso</t>
  </si>
  <si>
    <t>Beau</t>
  </si>
  <si>
    <t>Bins</t>
  </si>
  <si>
    <t>Kabes</t>
  </si>
  <si>
    <t>Groom</t>
  </si>
  <si>
    <t>Quaifey</t>
  </si>
  <si>
    <t>Pete</t>
  </si>
  <si>
    <t>Total</t>
  </si>
  <si>
    <t>Total Return</t>
  </si>
  <si>
    <t>Bet per Round</t>
  </si>
  <si>
    <t>% Return</t>
  </si>
  <si>
    <t xml:space="preserve">Bets up to Round </t>
  </si>
  <si>
    <t>Total Bet</t>
  </si>
  <si>
    <t>Punter</t>
  </si>
  <si>
    <t>Puntoff - Rounds</t>
  </si>
  <si>
    <t>Puntoff - Summary</t>
  </si>
  <si>
    <t>Sportsbet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</si>
</sst>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;\-&quot;$&quot;#,##0.00"/>
    <numFmt numFmtId="44" formatCode="_-&quot;$&quot;* #,##0.00_-;\-&quot;$&quot;* #,##0.00_-;_-&quot;$&quot;* &quot;-&quot;??_-;_-@_-"/>
    <numFmt numFmtId="164" formatCode="&quot;$&quot;#,##0.00"/>
  </numFmts>
  <fonts count="5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2" xfId="0" applyBorder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0" xfId="0" applyAlignment="1">
      <alignment horizontal="left"/>
    </xf>
    <xf numFmtId="0" fontId="3" fillId="0" borderId="0" xfId="0" applyFont="1"/>
    <xf numFmtId="9" fontId="0" fillId="3" borderId="1" xfId="1" applyNumberFormat="1" applyFont="1" applyFill="1" applyBorder="1" applyAlignment="1">
      <alignment horizontal="center"/>
    </xf>
    <xf numFmtId="0" fontId="2" fillId="3" borderId="1" xfId="0" applyFont="1" applyFill="1" applyBorder="1"/>
    <xf numFmtId="9" fontId="2" fillId="3" borderId="1" xfId="1" applyNumberFormat="1" applyFont="1" applyFill="1" applyBorder="1" applyAlignment="1">
      <alignment horizontal="center"/>
    </xf>
    <xf numFmtId="164" fontId="0" fillId="3" borderId="1" xfId="1" applyNumberFormat="1" applyFont="1" applyFill="1" applyBorder="1"/>
    <xf numFmtId="164" fontId="2" fillId="3" borderId="1" xfId="0" applyNumberFormat="1" applyFont="1" applyFill="1" applyBorder="1"/>
    <xf numFmtId="164" fontId="2" fillId="3" borderId="1" xfId="1" applyNumberFormat="1" applyFont="1" applyFill="1" applyBorder="1"/>
    <xf numFmtId="0" fontId="2" fillId="2" borderId="1" xfId="0" quotePrefix="1" applyFont="1" applyFill="1" applyBorder="1" applyAlignment="1">
      <alignment horizontal="center"/>
    </xf>
    <xf numFmtId="7" fontId="0" fillId="0" borderId="1" xfId="1" applyNumberFormat="1" applyFont="1" applyBorder="1"/>
    <xf numFmtId="7" fontId="0" fillId="3" borderId="1" xfId="0" applyNumberFormat="1" applyFill="1" applyBorder="1"/>
    <xf numFmtId="0" fontId="4" fillId="3" borderId="0" xfId="0" applyFont="1" applyFill="1" applyAlignment="1">
      <alignment vertical="center"/>
    </xf>
    <xf numFmtId="164" fontId="4" fillId="3" borderId="0" xfId="1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7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29F7-65B3-44AC-A2EB-D5016B472E6E}">
  <dimension ref="A1:D15"/>
  <sheetViews>
    <sheetView tabSelected="1" workbookViewId="0">
      <selection activeCell="D11" sqref="D11"/>
    </sheetView>
  </sheetViews>
  <sheetFormatPr defaultRowHeight="14.25" x14ac:dyDescent="0.2"/>
  <cols>
    <col min="1" max="1" width="21.5" customWidth="1"/>
    <col min="2" max="4" width="15.625" customWidth="1"/>
  </cols>
  <sheetData>
    <row r="1" spans="1:4" ht="19.5" customHeight="1" x14ac:dyDescent="0.25">
      <c r="A1" s="20" t="s">
        <v>18</v>
      </c>
      <c r="B1" s="7"/>
    </row>
    <row r="3" spans="1:4" ht="15" x14ac:dyDescent="0.25">
      <c r="A3" s="1" t="s">
        <v>16</v>
      </c>
      <c r="B3" s="4" t="s">
        <v>15</v>
      </c>
      <c r="C3" s="4" t="s">
        <v>11</v>
      </c>
      <c r="D3" s="14" t="s">
        <v>13</v>
      </c>
    </row>
    <row r="4" spans="1:4" x14ac:dyDescent="0.2">
      <c r="A4" s="2" t="s">
        <v>4</v>
      </c>
      <c r="B4" s="11">
        <f>+Rounds!B6*Rounds!$B$3</f>
        <v>360</v>
      </c>
      <c r="C4" s="11">
        <f>SUM(Rounds!C6:BB6)</f>
        <v>399.74</v>
      </c>
      <c r="D4" s="8">
        <f>+C4/(Rounds!$B$3*Rounds!B6)</f>
        <v>1.1103888888888889</v>
      </c>
    </row>
    <row r="5" spans="1:4" x14ac:dyDescent="0.2">
      <c r="A5" s="2" t="s">
        <v>5</v>
      </c>
      <c r="B5" s="11">
        <f>+Rounds!B7*Rounds!$B$3</f>
        <v>360</v>
      </c>
      <c r="C5" s="11">
        <f>SUM(Rounds!C7:BB7)</f>
        <v>441.88</v>
      </c>
      <c r="D5" s="8">
        <f>+C5/(Rounds!$B$3*Rounds!B7)</f>
        <v>1.2274444444444443</v>
      </c>
    </row>
    <row r="6" spans="1:4" x14ac:dyDescent="0.2">
      <c r="A6" s="2" t="s">
        <v>2</v>
      </c>
      <c r="B6" s="11">
        <f>+Rounds!B8*Rounds!$B$3</f>
        <v>360</v>
      </c>
      <c r="C6" s="11">
        <f>SUM(Rounds!C8:BB8)</f>
        <v>284.75</v>
      </c>
      <c r="D6" s="8">
        <f>+C6/(Rounds!$B$3*Rounds!B8)</f>
        <v>0.79097222222222219</v>
      </c>
    </row>
    <row r="7" spans="1:4" x14ac:dyDescent="0.2">
      <c r="A7" s="2" t="s">
        <v>0</v>
      </c>
      <c r="B7" s="11">
        <f>+Rounds!B9*Rounds!$B$3</f>
        <v>360</v>
      </c>
      <c r="C7" s="11">
        <f>SUM(Rounds!C9:BB9)</f>
        <v>505.89</v>
      </c>
      <c r="D7" s="8">
        <f>+C7/(Rounds!$B$3*Rounds!B9)</f>
        <v>1.4052499999999999</v>
      </c>
    </row>
    <row r="8" spans="1:4" x14ac:dyDescent="0.2">
      <c r="A8" s="2" t="s">
        <v>1</v>
      </c>
      <c r="B8" s="11">
        <f>+Rounds!B10*Rounds!$B$3</f>
        <v>360</v>
      </c>
      <c r="C8" s="11">
        <f>SUM(Rounds!C10:BB10)</f>
        <v>201</v>
      </c>
      <c r="D8" s="8">
        <f>+C8/(Rounds!$B$3*Rounds!B10)</f>
        <v>0.55833333333333335</v>
      </c>
    </row>
    <row r="9" spans="1:4" x14ac:dyDescent="0.2">
      <c r="A9" s="2" t="s">
        <v>6</v>
      </c>
      <c r="B9" s="11">
        <f>+Rounds!B11*Rounds!$B$3</f>
        <v>360</v>
      </c>
      <c r="C9" s="11">
        <f>SUM(Rounds!C11:BB11)</f>
        <v>307.62</v>
      </c>
      <c r="D9" s="8">
        <f>+C9/(Rounds!$B$3*Rounds!B11)</f>
        <v>0.85450000000000004</v>
      </c>
    </row>
    <row r="10" spans="1:4" x14ac:dyDescent="0.2">
      <c r="A10" s="2" t="s">
        <v>3</v>
      </c>
      <c r="B10" s="11">
        <f>+Rounds!B12*Rounds!$B$3</f>
        <v>360</v>
      </c>
      <c r="C10" s="11">
        <f>SUM(Rounds!C12:BB12)</f>
        <v>356.63</v>
      </c>
      <c r="D10" s="8">
        <f>+C10/(Rounds!$B$3*Rounds!B12)</f>
        <v>0.99063888888888885</v>
      </c>
    </row>
    <row r="11" spans="1:4" x14ac:dyDescent="0.2">
      <c r="A11" s="2" t="s">
        <v>7</v>
      </c>
      <c r="B11" s="11">
        <f>+Rounds!B13*Rounds!$B$3</f>
        <v>360</v>
      </c>
      <c r="C11" s="11">
        <f>SUM(Rounds!C13:BB13)</f>
        <v>348.40999999999997</v>
      </c>
      <c r="D11" s="8">
        <f>+C11/(Rounds!$B$3*Rounds!B13)</f>
        <v>0.96780555555555547</v>
      </c>
    </row>
    <row r="12" spans="1:4" x14ac:dyDescent="0.2">
      <c r="A12" s="2" t="s">
        <v>9</v>
      </c>
      <c r="B12" s="11">
        <f>+Rounds!B14*Rounds!$B$3</f>
        <v>360</v>
      </c>
      <c r="C12" s="11">
        <f>SUM(Rounds!C14:BB14)</f>
        <v>190.5</v>
      </c>
      <c r="D12" s="8">
        <f>+C12/(Rounds!$B$3*Rounds!B14)</f>
        <v>0.52916666666666667</v>
      </c>
    </row>
    <row r="13" spans="1:4" x14ac:dyDescent="0.2">
      <c r="A13" s="3" t="s">
        <v>8</v>
      </c>
      <c r="B13" s="11">
        <f>+Rounds!B15*Rounds!$B$3</f>
        <v>360</v>
      </c>
      <c r="C13" s="11">
        <f>SUM(Rounds!C15:BB15)</f>
        <v>265.94</v>
      </c>
      <c r="D13" s="8">
        <f>+C13/(Rounds!$B$3*Rounds!B15)</f>
        <v>0.73872222222222217</v>
      </c>
    </row>
    <row r="14" spans="1:4" ht="15" hidden="1" customHeight="1" x14ac:dyDescent="0.2">
      <c r="A14" s="3"/>
      <c r="B14" s="11"/>
      <c r="C14" s="11"/>
      <c r="D14" s="8"/>
    </row>
    <row r="15" spans="1:4" ht="15" x14ac:dyDescent="0.25">
      <c r="A15" s="9" t="s">
        <v>10</v>
      </c>
      <c r="B15" s="13">
        <f>SUM(B4:B13)</f>
        <v>3600</v>
      </c>
      <c r="C15" s="12">
        <f>SUM(C4:C13)</f>
        <v>3302.3599999999997</v>
      </c>
      <c r="D15" s="10">
        <f>+C15/(Rounds!$B$3*Rounds!B16)</f>
        <v>0.91732222222222215</v>
      </c>
    </row>
  </sheetData>
  <autoFilter ref="A3:D13" xr:uid="{BFEA29F7-65B3-44AC-A2EB-D5016B472E6E}">
    <sortState xmlns:xlrd2="http://schemas.microsoft.com/office/spreadsheetml/2017/richdata2" ref="A4:D13">
      <sortCondition descending="1" ref="D3:D1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8439-8736-4520-9CFB-113912EE56C5}">
  <dimension ref="A1:BB19"/>
  <sheetViews>
    <sheetView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T13" sqref="T13"/>
    </sheetView>
  </sheetViews>
  <sheetFormatPr defaultRowHeight="14.25" x14ac:dyDescent="0.2"/>
  <cols>
    <col min="1" max="1" width="22" customWidth="1"/>
    <col min="2" max="2" width="14" bestFit="1" customWidth="1"/>
    <col min="3" max="54" width="8.625" customWidth="1"/>
  </cols>
  <sheetData>
    <row r="1" spans="1:54" ht="28.5" customHeight="1" x14ac:dyDescent="0.2">
      <c r="A1" s="20" t="s">
        <v>17</v>
      </c>
    </row>
    <row r="2" spans="1:54" ht="18" customHeight="1" x14ac:dyDescent="0.2">
      <c r="A2" s="17" t="s">
        <v>19</v>
      </c>
      <c r="B2" s="18">
        <v>831.31</v>
      </c>
      <c r="Q2" s="21"/>
    </row>
    <row r="3" spans="1:54" ht="18" customHeight="1" x14ac:dyDescent="0.2">
      <c r="A3" s="17" t="s">
        <v>14</v>
      </c>
      <c r="B3" s="19">
        <v>18</v>
      </c>
    </row>
    <row r="4" spans="1:54" x14ac:dyDescent="0.2">
      <c r="B4" s="6"/>
    </row>
    <row r="5" spans="1:54" ht="15" x14ac:dyDescent="0.25">
      <c r="A5" s="1" t="s">
        <v>16</v>
      </c>
      <c r="B5" s="1" t="s">
        <v>12</v>
      </c>
      <c r="C5" s="4">
        <v>1</v>
      </c>
      <c r="D5" s="4">
        <f>+C5+1</f>
        <v>2</v>
      </c>
      <c r="E5" s="4">
        <f t="shared" ref="E5:H5" si="0">+D5+1</f>
        <v>3</v>
      </c>
      <c r="F5" s="4">
        <f t="shared" si="0"/>
        <v>4</v>
      </c>
      <c r="G5" s="4">
        <f t="shared" si="0"/>
        <v>5</v>
      </c>
      <c r="H5" s="4">
        <f t="shared" si="0"/>
        <v>6</v>
      </c>
      <c r="I5" s="4">
        <f t="shared" ref="I5:V5" si="1">+H5+1</f>
        <v>7</v>
      </c>
      <c r="J5" s="4">
        <f t="shared" si="1"/>
        <v>8</v>
      </c>
      <c r="K5" s="4">
        <f t="shared" si="1"/>
        <v>9</v>
      </c>
      <c r="L5" s="4">
        <f t="shared" si="1"/>
        <v>10</v>
      </c>
      <c r="M5" s="4">
        <f t="shared" si="1"/>
        <v>11</v>
      </c>
      <c r="N5" s="4">
        <f t="shared" si="1"/>
        <v>12</v>
      </c>
      <c r="O5" s="4">
        <f t="shared" si="1"/>
        <v>13</v>
      </c>
      <c r="P5" s="4">
        <f t="shared" si="1"/>
        <v>14</v>
      </c>
      <c r="Q5" s="4">
        <f t="shared" si="1"/>
        <v>15</v>
      </c>
      <c r="R5" s="4">
        <f t="shared" si="1"/>
        <v>16</v>
      </c>
      <c r="S5" s="4">
        <f t="shared" si="1"/>
        <v>17</v>
      </c>
      <c r="T5" s="4">
        <f t="shared" si="1"/>
        <v>18</v>
      </c>
      <c r="U5" s="4">
        <f t="shared" si="1"/>
        <v>19</v>
      </c>
      <c r="V5" s="4">
        <f t="shared" si="1"/>
        <v>20</v>
      </c>
      <c r="W5" s="4">
        <f t="shared" ref="W5:BB5" si="2">+V5+1</f>
        <v>21</v>
      </c>
      <c r="X5" s="4">
        <f t="shared" si="2"/>
        <v>22</v>
      </c>
      <c r="Y5" s="4">
        <f t="shared" si="2"/>
        <v>23</v>
      </c>
      <c r="Z5" s="4">
        <f t="shared" si="2"/>
        <v>24</v>
      </c>
      <c r="AA5" s="4">
        <f t="shared" si="2"/>
        <v>25</v>
      </c>
      <c r="AB5" s="4">
        <f t="shared" si="2"/>
        <v>26</v>
      </c>
      <c r="AC5" s="4">
        <f t="shared" si="2"/>
        <v>27</v>
      </c>
      <c r="AD5" s="4">
        <f t="shared" si="2"/>
        <v>28</v>
      </c>
      <c r="AE5" s="4">
        <f t="shared" si="2"/>
        <v>29</v>
      </c>
      <c r="AF5" s="4">
        <f t="shared" si="2"/>
        <v>30</v>
      </c>
      <c r="AG5" s="4">
        <f t="shared" si="2"/>
        <v>31</v>
      </c>
      <c r="AH5" s="4">
        <f t="shared" si="2"/>
        <v>32</v>
      </c>
      <c r="AI5" s="4">
        <f t="shared" si="2"/>
        <v>33</v>
      </c>
      <c r="AJ5" s="4">
        <f t="shared" si="2"/>
        <v>34</v>
      </c>
      <c r="AK5" s="4">
        <f t="shared" si="2"/>
        <v>35</v>
      </c>
      <c r="AL5" s="4">
        <f t="shared" si="2"/>
        <v>36</v>
      </c>
      <c r="AM5" s="4">
        <f t="shared" si="2"/>
        <v>37</v>
      </c>
      <c r="AN5" s="4">
        <f t="shared" si="2"/>
        <v>38</v>
      </c>
      <c r="AO5" s="4">
        <f t="shared" si="2"/>
        <v>39</v>
      </c>
      <c r="AP5" s="4">
        <f t="shared" si="2"/>
        <v>40</v>
      </c>
      <c r="AQ5" s="4">
        <f t="shared" si="2"/>
        <v>41</v>
      </c>
      <c r="AR5" s="4">
        <f t="shared" si="2"/>
        <v>42</v>
      </c>
      <c r="AS5" s="4">
        <f t="shared" si="2"/>
        <v>43</v>
      </c>
      <c r="AT5" s="4">
        <f t="shared" si="2"/>
        <v>44</v>
      </c>
      <c r="AU5" s="4">
        <f t="shared" si="2"/>
        <v>45</v>
      </c>
      <c r="AV5" s="4">
        <f t="shared" si="2"/>
        <v>46</v>
      </c>
      <c r="AW5" s="4">
        <f t="shared" si="2"/>
        <v>47</v>
      </c>
      <c r="AX5" s="4">
        <f t="shared" si="2"/>
        <v>48</v>
      </c>
      <c r="AY5" s="4">
        <f t="shared" si="2"/>
        <v>49</v>
      </c>
      <c r="AZ5" s="4">
        <f t="shared" si="2"/>
        <v>50</v>
      </c>
      <c r="BA5" s="4">
        <f t="shared" si="2"/>
        <v>51</v>
      </c>
      <c r="BB5" s="4">
        <f t="shared" si="2"/>
        <v>52</v>
      </c>
    </row>
    <row r="6" spans="1:54" x14ac:dyDescent="0.2">
      <c r="A6" s="2" t="s">
        <v>4</v>
      </c>
      <c r="B6" s="15">
        <v>20</v>
      </c>
      <c r="C6" s="15">
        <v>43.74</v>
      </c>
      <c r="D6" s="15"/>
      <c r="E6" s="15"/>
      <c r="F6" s="15"/>
      <c r="G6" s="15">
        <v>88</v>
      </c>
      <c r="H6" s="15">
        <v>64</v>
      </c>
      <c r="I6" s="15">
        <v>76</v>
      </c>
      <c r="J6" s="15"/>
      <c r="K6" s="15"/>
      <c r="L6" s="15"/>
      <c r="M6" s="15"/>
      <c r="N6" s="15"/>
      <c r="O6" s="15">
        <v>68</v>
      </c>
      <c r="P6" s="15"/>
      <c r="Q6" s="15">
        <v>60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</row>
    <row r="7" spans="1:54" x14ac:dyDescent="0.2">
      <c r="A7" s="2" t="s">
        <v>5</v>
      </c>
      <c r="B7" s="15">
        <f>+B6</f>
        <v>20</v>
      </c>
      <c r="C7" s="15"/>
      <c r="D7" s="15">
        <v>40</v>
      </c>
      <c r="E7" s="15"/>
      <c r="F7" s="15"/>
      <c r="G7" s="15"/>
      <c r="H7" s="15">
        <v>150</v>
      </c>
      <c r="I7" s="15"/>
      <c r="J7" s="15">
        <v>20.72</v>
      </c>
      <c r="K7" s="15"/>
      <c r="L7" s="15"/>
      <c r="M7" s="15"/>
      <c r="N7" s="15">
        <v>67.709999999999994</v>
      </c>
      <c r="O7" s="15"/>
      <c r="P7" s="15">
        <v>41</v>
      </c>
      <c r="Q7" s="15"/>
      <c r="R7" s="15">
        <v>61.24</v>
      </c>
      <c r="S7" s="15">
        <v>38</v>
      </c>
      <c r="T7" s="15">
        <v>23.21</v>
      </c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</row>
    <row r="8" spans="1:54" x14ac:dyDescent="0.2">
      <c r="A8" s="2" t="s">
        <v>2</v>
      </c>
      <c r="B8" s="15">
        <f t="shared" ref="B8:B15" si="3">+B7</f>
        <v>20</v>
      </c>
      <c r="C8" s="15">
        <v>44.7</v>
      </c>
      <c r="D8" s="15"/>
      <c r="E8" s="15"/>
      <c r="F8" s="15">
        <v>70</v>
      </c>
      <c r="G8" s="15"/>
      <c r="H8" s="15">
        <v>65.67</v>
      </c>
      <c r="I8" s="15">
        <v>40.98</v>
      </c>
      <c r="J8" s="15"/>
      <c r="K8" s="15"/>
      <c r="L8" s="15"/>
      <c r="M8" s="15"/>
      <c r="N8" s="15"/>
      <c r="O8" s="15"/>
      <c r="P8" s="15"/>
      <c r="Q8" s="15"/>
      <c r="R8" s="15">
        <f>37.59+25.81</f>
        <v>63.400000000000006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</row>
    <row r="9" spans="1:54" x14ac:dyDescent="0.2">
      <c r="A9" s="2" t="s">
        <v>0</v>
      </c>
      <c r="B9" s="15">
        <f t="shared" si="3"/>
        <v>20</v>
      </c>
      <c r="C9" s="15">
        <v>82.35</v>
      </c>
      <c r="D9" s="15"/>
      <c r="E9" s="15"/>
      <c r="F9" s="15">
        <v>75</v>
      </c>
      <c r="G9" s="15"/>
      <c r="H9" s="15"/>
      <c r="I9" s="15"/>
      <c r="J9" s="15"/>
      <c r="K9" s="15"/>
      <c r="L9" s="15">
        <v>150.54</v>
      </c>
      <c r="M9" s="15"/>
      <c r="N9" s="15"/>
      <c r="O9" s="15"/>
      <c r="P9" s="15"/>
      <c r="Q9" s="15"/>
      <c r="R9" s="15">
        <v>58</v>
      </c>
      <c r="S9" s="15">
        <v>140</v>
      </c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</row>
    <row r="10" spans="1:54" x14ac:dyDescent="0.2">
      <c r="A10" s="2" t="s">
        <v>1</v>
      </c>
      <c r="B10" s="15">
        <f t="shared" si="3"/>
        <v>20</v>
      </c>
      <c r="C10" s="15">
        <v>80</v>
      </c>
      <c r="D10" s="15"/>
      <c r="E10" s="15"/>
      <c r="F10" s="15">
        <v>66</v>
      </c>
      <c r="G10" s="15"/>
      <c r="H10" s="15"/>
      <c r="I10" s="15"/>
      <c r="J10" s="15"/>
      <c r="K10" s="15"/>
      <c r="L10" s="15"/>
      <c r="M10" s="15"/>
      <c r="N10" s="15"/>
      <c r="O10" s="15">
        <v>20</v>
      </c>
      <c r="P10" s="15">
        <v>35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</row>
    <row r="11" spans="1:54" x14ac:dyDescent="0.2">
      <c r="A11" s="2" t="s">
        <v>6</v>
      </c>
      <c r="B11" s="15">
        <f t="shared" si="3"/>
        <v>20</v>
      </c>
      <c r="C11" s="15">
        <v>34</v>
      </c>
      <c r="D11" s="15"/>
      <c r="E11" s="15"/>
      <c r="F11" s="15">
        <v>37.5</v>
      </c>
      <c r="G11" s="15">
        <v>67.5</v>
      </c>
      <c r="H11" s="15"/>
      <c r="I11" s="15">
        <v>59</v>
      </c>
      <c r="J11" s="15"/>
      <c r="K11" s="15"/>
      <c r="L11" s="15">
        <v>36.25</v>
      </c>
      <c r="M11" s="15">
        <v>17.5</v>
      </c>
      <c r="N11" s="15"/>
      <c r="O11" s="15"/>
      <c r="P11" s="15"/>
      <c r="Q11" s="15"/>
      <c r="R11" s="15">
        <v>55.87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</row>
    <row r="12" spans="1:54" x14ac:dyDescent="0.2">
      <c r="A12" s="2" t="s">
        <v>3</v>
      </c>
      <c r="B12" s="15">
        <f t="shared" si="3"/>
        <v>20</v>
      </c>
      <c r="C12" s="15">
        <v>44.19</v>
      </c>
      <c r="D12" s="15"/>
      <c r="E12" s="15">
        <v>25</v>
      </c>
      <c r="F12" s="15"/>
      <c r="G12" s="15">
        <v>20</v>
      </c>
      <c r="H12" s="15"/>
      <c r="I12" s="15">
        <f>18.13+35</f>
        <v>53.129999999999995</v>
      </c>
      <c r="J12" s="15"/>
      <c r="K12" s="15">
        <v>50</v>
      </c>
      <c r="L12" s="15">
        <v>49</v>
      </c>
      <c r="M12" s="15">
        <v>36.86</v>
      </c>
      <c r="N12" s="15"/>
      <c r="O12" s="15"/>
      <c r="P12" s="15">
        <v>14.5</v>
      </c>
      <c r="Q12" s="15">
        <v>19.2</v>
      </c>
      <c r="R12" s="15"/>
      <c r="S12" s="15">
        <v>21.75</v>
      </c>
      <c r="T12" s="15">
        <v>23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</row>
    <row r="13" spans="1:54" x14ac:dyDescent="0.2">
      <c r="A13" s="2" t="s">
        <v>7</v>
      </c>
      <c r="B13" s="15">
        <f t="shared" si="3"/>
        <v>20</v>
      </c>
      <c r="C13" s="15"/>
      <c r="D13" s="15"/>
      <c r="E13" s="15"/>
      <c r="F13" s="15"/>
      <c r="G13" s="15">
        <v>34</v>
      </c>
      <c r="H13" s="15">
        <v>50</v>
      </c>
      <c r="I13" s="15"/>
      <c r="J13" s="15">
        <v>15.89</v>
      </c>
      <c r="K13" s="15"/>
      <c r="L13" s="15"/>
      <c r="M13" s="15"/>
      <c r="N13" s="15"/>
      <c r="O13" s="15">
        <v>120</v>
      </c>
      <c r="P13" s="15"/>
      <c r="Q13" s="15">
        <v>54.52</v>
      </c>
      <c r="R13" s="15"/>
      <c r="S13" s="15">
        <v>74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</row>
    <row r="14" spans="1:54" x14ac:dyDescent="0.2">
      <c r="A14" s="2" t="s">
        <v>9</v>
      </c>
      <c r="B14" s="15">
        <f t="shared" si="3"/>
        <v>20</v>
      </c>
      <c r="C14" s="15"/>
      <c r="D14" s="15"/>
      <c r="E14" s="15"/>
      <c r="F14" s="15">
        <v>70</v>
      </c>
      <c r="G14" s="15"/>
      <c r="H14" s="15"/>
      <c r="I14" s="15"/>
      <c r="J14" s="15">
        <v>37</v>
      </c>
      <c r="K14" s="15"/>
      <c r="L14" s="15"/>
      <c r="M14" s="15"/>
      <c r="N14" s="15">
        <v>23.5</v>
      </c>
      <c r="O14" s="15"/>
      <c r="P14" s="15"/>
      <c r="Q14" s="15"/>
      <c r="R14" s="15"/>
      <c r="S14" s="15">
        <v>60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</row>
    <row r="15" spans="1:54" x14ac:dyDescent="0.2">
      <c r="A15" s="3" t="s">
        <v>8</v>
      </c>
      <c r="B15" s="15">
        <f t="shared" si="3"/>
        <v>20</v>
      </c>
      <c r="C15" s="15"/>
      <c r="D15" s="15"/>
      <c r="E15" s="15"/>
      <c r="F15" s="15"/>
      <c r="G15" s="15">
        <v>12.44</v>
      </c>
      <c r="H15" s="15">
        <v>18.5</v>
      </c>
      <c r="I15" s="15"/>
      <c r="J15" s="15"/>
      <c r="K15" s="15"/>
      <c r="L15" s="15"/>
      <c r="M15" s="15"/>
      <c r="N15" s="15"/>
      <c r="O15" s="15">
        <v>180</v>
      </c>
      <c r="P15" s="15"/>
      <c r="Q15" s="15"/>
      <c r="R15" s="15"/>
      <c r="S15" s="15">
        <v>55</v>
      </c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</row>
    <row r="16" spans="1:54" x14ac:dyDescent="0.2">
      <c r="A16" s="5" t="s">
        <v>10</v>
      </c>
      <c r="B16" s="16">
        <f>SUM(B6:B15)</f>
        <v>200</v>
      </c>
      <c r="C16" s="16">
        <f>SUM(C6:C15)</f>
        <v>328.97999999999996</v>
      </c>
      <c r="D16" s="16">
        <f t="shared" ref="D16:H16" si="4">SUM(D6:D15)</f>
        <v>40</v>
      </c>
      <c r="E16" s="16">
        <f t="shared" si="4"/>
        <v>25</v>
      </c>
      <c r="F16" s="16">
        <f t="shared" si="4"/>
        <v>318.5</v>
      </c>
      <c r="G16" s="16">
        <f t="shared" si="4"/>
        <v>221.94</v>
      </c>
      <c r="H16" s="16">
        <f t="shared" si="4"/>
        <v>348.17</v>
      </c>
      <c r="I16" s="16">
        <f t="shared" ref="I16" si="5">SUM(I6:I15)</f>
        <v>229.10999999999999</v>
      </c>
      <c r="J16" s="16">
        <f t="shared" ref="J16" si="6">SUM(J6:J15)</f>
        <v>73.61</v>
      </c>
      <c r="K16" s="16">
        <f t="shared" ref="K16" si="7">SUM(K6:K15)</f>
        <v>50</v>
      </c>
      <c r="L16" s="16">
        <f t="shared" ref="L16" si="8">SUM(L6:L15)</f>
        <v>235.79</v>
      </c>
      <c r="M16" s="16">
        <f t="shared" ref="M16" si="9">SUM(M6:M15)</f>
        <v>54.36</v>
      </c>
      <c r="N16" s="16">
        <f t="shared" ref="N16" si="10">SUM(N6:N15)</f>
        <v>91.21</v>
      </c>
      <c r="O16" s="16">
        <f t="shared" ref="O16" si="11">SUM(O6:O15)</f>
        <v>388</v>
      </c>
      <c r="P16" s="16">
        <f t="shared" ref="P16" si="12">SUM(P6:P15)</f>
        <v>90.5</v>
      </c>
      <c r="Q16" s="16">
        <f t="shared" ref="Q16" si="13">SUM(Q6:Q15)</f>
        <v>133.72</v>
      </c>
      <c r="R16" s="16">
        <f t="shared" ref="R16" si="14">SUM(R6:R15)</f>
        <v>238.51000000000002</v>
      </c>
      <c r="S16" s="16">
        <f t="shared" ref="S16" si="15">SUM(S6:S15)</f>
        <v>388.75</v>
      </c>
      <c r="T16" s="16">
        <f t="shared" ref="T16" si="16">SUM(T6:T15)</f>
        <v>46.21</v>
      </c>
      <c r="U16" s="16">
        <f t="shared" ref="U16" si="17">SUM(U6:U15)</f>
        <v>0</v>
      </c>
      <c r="V16" s="16">
        <f t="shared" ref="V16" si="18">SUM(V6:V15)</f>
        <v>0</v>
      </c>
      <c r="W16" s="16">
        <f t="shared" ref="W16" si="19">SUM(W6:W15)</f>
        <v>0</v>
      </c>
      <c r="X16" s="16">
        <f t="shared" ref="X16" si="20">SUM(X6:X15)</f>
        <v>0</v>
      </c>
      <c r="Y16" s="16">
        <f t="shared" ref="Y16" si="21">SUM(Y6:Y15)</f>
        <v>0</v>
      </c>
      <c r="Z16" s="16">
        <f t="shared" ref="Z16" si="22">SUM(Z6:Z15)</f>
        <v>0</v>
      </c>
      <c r="AA16" s="16">
        <f t="shared" ref="AA16" si="23">SUM(AA6:AA15)</f>
        <v>0</v>
      </c>
      <c r="AB16" s="16">
        <f t="shared" ref="AB16" si="24">SUM(AB6:AB15)</f>
        <v>0</v>
      </c>
      <c r="AC16" s="16">
        <f t="shared" ref="AC16" si="25">SUM(AC6:AC15)</f>
        <v>0</v>
      </c>
      <c r="AD16" s="16">
        <f t="shared" ref="AD16" si="26">SUM(AD6:AD15)</f>
        <v>0</v>
      </c>
      <c r="AE16" s="16">
        <f t="shared" ref="AE16" si="27">SUM(AE6:AE15)</f>
        <v>0</v>
      </c>
      <c r="AF16" s="16">
        <f t="shared" ref="AF16" si="28">SUM(AF6:AF15)</f>
        <v>0</v>
      </c>
      <c r="AG16" s="16">
        <f t="shared" ref="AG16" si="29">SUM(AG6:AG15)</f>
        <v>0</v>
      </c>
      <c r="AH16" s="16">
        <f t="shared" ref="AH16" si="30">SUM(AH6:AH15)</f>
        <v>0</v>
      </c>
      <c r="AI16" s="16">
        <f t="shared" ref="AI16" si="31">SUM(AI6:AI15)</f>
        <v>0</v>
      </c>
      <c r="AJ16" s="16">
        <f t="shared" ref="AJ16" si="32">SUM(AJ6:AJ15)</f>
        <v>0</v>
      </c>
      <c r="AK16" s="16">
        <f t="shared" ref="AK16" si="33">SUM(AK6:AK15)</f>
        <v>0</v>
      </c>
      <c r="AL16" s="16">
        <f t="shared" ref="AL16" si="34">SUM(AL6:AL15)</f>
        <v>0</v>
      </c>
      <c r="AM16" s="16">
        <f t="shared" ref="AM16" si="35">SUM(AM6:AM15)</f>
        <v>0</v>
      </c>
      <c r="AN16" s="16">
        <f t="shared" ref="AN16" si="36">SUM(AN6:AN15)</f>
        <v>0</v>
      </c>
      <c r="AO16" s="16">
        <f t="shared" ref="AO16" si="37">SUM(AO6:AO15)</f>
        <v>0</v>
      </c>
      <c r="AP16" s="16">
        <f t="shared" ref="AP16" si="38">SUM(AP6:AP15)</f>
        <v>0</v>
      </c>
      <c r="AQ16" s="16">
        <f t="shared" ref="AQ16" si="39">SUM(AQ6:AQ15)</f>
        <v>0</v>
      </c>
      <c r="AR16" s="16">
        <f t="shared" ref="AR16" si="40">SUM(AR6:AR15)</f>
        <v>0</v>
      </c>
      <c r="AS16" s="16">
        <f t="shared" ref="AS16" si="41">SUM(AS6:AS15)</f>
        <v>0</v>
      </c>
      <c r="AT16" s="16">
        <f t="shared" ref="AT16" si="42">SUM(AT6:AT15)</f>
        <v>0</v>
      </c>
      <c r="AU16" s="16">
        <f t="shared" ref="AU16" si="43">SUM(AU6:AU15)</f>
        <v>0</v>
      </c>
      <c r="AV16" s="16">
        <f t="shared" ref="AV16" si="44">SUM(AV6:AV15)</f>
        <v>0</v>
      </c>
      <c r="AW16" s="16">
        <f t="shared" ref="AW16" si="45">SUM(AW6:AW15)</f>
        <v>0</v>
      </c>
      <c r="AX16" s="16">
        <f t="shared" ref="AX16" si="46">SUM(AX6:AX15)</f>
        <v>0</v>
      </c>
      <c r="AY16" s="16">
        <f t="shared" ref="AY16" si="47">SUM(AY6:AY15)</f>
        <v>0</v>
      </c>
      <c r="AZ16" s="16">
        <f t="shared" ref="AZ16" si="48">SUM(AZ6:AZ15)</f>
        <v>0</v>
      </c>
      <c r="BA16" s="16">
        <f t="shared" ref="BA16" si="49">SUM(BA6:BA15)</f>
        <v>0</v>
      </c>
      <c r="BB16" s="16">
        <f t="shared" ref="BB16" si="50">SUM(BB6:BB15)</f>
        <v>0</v>
      </c>
    </row>
    <row r="19" spans="18:18" x14ac:dyDescent="0.2">
      <c r="R19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Rounds</vt:lpstr>
    </vt:vector>
  </TitlesOfParts>
  <Company>Shire of Wyndham East Kimberley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Bindley</dc:creator>
  <cp:lastModifiedBy>maree gream</cp:lastModifiedBy>
  <dcterms:created xsi:type="dcterms:W3CDTF">2026-06-21T23:53:06Z</dcterms:created>
  <dcterms:modified xsi:type="dcterms:W3CDTF">2026-10-12T02:30:40Z</dcterms:modified>
</cp:coreProperties>
</file>